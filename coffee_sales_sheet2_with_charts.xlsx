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ffee Sales Data" sheetId="1" state="visible" r:id="rId1"/>
    <sheet xmlns:r="http://schemas.openxmlformats.org/officeDocument/2006/relationships"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 by transaction_id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'Coffee Sales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'Coffee Sales Data'!$A$2:$A$28</f>
            </numRef>
          </cat>
          <val>
            <numRef>
              <f>'Coffee Sales Data'!$B$2:$B$28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transaction_id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 share</a:t>
            </a:r>
          </a:p>
        </rich>
      </tx>
    </title>
    <plotArea>
      <pieChart>
        <varyColors val="1"/>
        <ser>
          <idx val="0"/>
          <order val="0"/>
          <tx>
            <strRef>
              <f>'Coffee Sales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'Coffee Sales Data'!$A$2:$A$9</f>
            </numRef>
          </cat>
          <val>
            <numRef>
              <f>'Coffee Sales Data'!$B$2:$B$9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cols>
    <col width="13.63" customWidth="1" min="1" max="1"/>
    <col width="16.38" customWidth="1" min="3" max="3"/>
    <col width="17.5" customWidth="1" min="4" max="4"/>
    <col width="19.63" customWidth="1" min="5" max="5"/>
    <col width="18.88" customWidth="1" min="7" max="7"/>
    <col width="10.38" customWidth="1" min="8" max="8"/>
    <col width="21.38" customWidth="1" min="9" max="9"/>
    <col width="20.38" customWidth="1" min="10" max="10"/>
    <col width="24.63" customWidth="1" min="11" max="11"/>
    <col width="28.88" customWidth="1" min="12" max="12"/>
    <col width="16.88" customWidth="1" min="15" max="15"/>
  </cols>
  <sheetData>
    <row r="1">
      <c r="A1" t="inlineStr">
        <is>
          <t>transaction_id</t>
        </is>
      </c>
      <c r="B1" t="inlineStr">
        <is>
          <t>month</t>
        </is>
      </c>
      <c r="C1" t="inlineStr">
        <is>
          <t>transaction_date</t>
        </is>
      </c>
      <c r="D1" t="inlineStr">
        <is>
          <t>transaction_time</t>
        </is>
      </c>
      <c r="E1" t="inlineStr">
        <is>
          <t>transaction_qty</t>
        </is>
      </c>
      <c r="F1" t="inlineStr">
        <is>
          <t>store_id</t>
        </is>
      </c>
      <c r="G1" t="inlineStr">
        <is>
          <t>store_location</t>
        </is>
      </c>
      <c r="H1" t="inlineStr">
        <is>
          <t>product_id</t>
        </is>
      </c>
      <c r="I1" t="inlineStr">
        <is>
          <t>unit_price</t>
        </is>
      </c>
      <c r="J1" t="inlineStr">
        <is>
          <t>product_category</t>
        </is>
      </c>
      <c r="K1" t="inlineStr">
        <is>
          <t>product_type</t>
        </is>
      </c>
      <c r="L1" t="inlineStr">
        <is>
          <t>product_detail</t>
        </is>
      </c>
      <c r="M1" t="inlineStr">
        <is>
          <t>Total sales</t>
        </is>
      </c>
      <c r="O1" t="inlineStr">
        <is>
          <t>Dashborad</t>
        </is>
      </c>
      <c r="P1" t="inlineStr">
        <is>
          <t>Values</t>
        </is>
      </c>
    </row>
    <row r="2">
      <c r="A2" t="n">
        <v>1</v>
      </c>
      <c r="B2">
        <f>MONTH(C2)</f>
        <v/>
      </c>
      <c r="C2" t="inlineStr">
        <is>
          <t>01/01/2023</t>
        </is>
      </c>
      <c r="D2" t="inlineStr">
        <is>
          <t>07:06:11</t>
        </is>
      </c>
      <c r="E2" t="n">
        <v>1</v>
      </c>
      <c r="F2" t="n">
        <v>5</v>
      </c>
      <c r="G2" t="inlineStr">
        <is>
          <t>Lower Manhattan</t>
        </is>
      </c>
      <c r="H2" t="n">
        <v>32</v>
      </c>
      <c r="I2" t="n">
        <v>3</v>
      </c>
      <c r="J2" t="inlineStr">
        <is>
          <t>Coffee</t>
        </is>
      </c>
      <c r="K2" t="inlineStr">
        <is>
          <t>Gourmet brewed coffee</t>
        </is>
      </c>
      <c r="L2" t="inlineStr">
        <is>
          <t>Ethiopia Rg</t>
        </is>
      </c>
      <c r="M2">
        <f>E2*I2</f>
        <v/>
      </c>
      <c r="O2" t="inlineStr">
        <is>
          <t>Total Revenue</t>
        </is>
      </c>
      <c r="P2">
        <f>sum(M2:M11)</f>
        <v/>
      </c>
    </row>
    <row r="3">
      <c r="A3" t="n">
        <v>2</v>
      </c>
      <c r="B3">
        <f>MONTH(C3)</f>
        <v/>
      </c>
      <c r="C3" t="inlineStr">
        <is>
          <t>01/01/2024</t>
        </is>
      </c>
      <c r="D3" t="inlineStr">
        <is>
          <t>07:08:56</t>
        </is>
      </c>
      <c r="E3" t="n">
        <v>2</v>
      </c>
      <c r="F3" t="n">
        <v>5</v>
      </c>
      <c r="G3" t="inlineStr">
        <is>
          <t>Lower Manhattan</t>
        </is>
      </c>
      <c r="H3" t="n">
        <v>57</v>
      </c>
      <c r="I3" t="n">
        <v>3.1</v>
      </c>
      <c r="J3" t="inlineStr">
        <is>
          <t>Tea</t>
        </is>
      </c>
      <c r="K3" t="inlineStr">
        <is>
          <t>Brewed Chai tea</t>
        </is>
      </c>
      <c r="L3" t="inlineStr">
        <is>
          <t>Spicy Eye Opener Chai Lg</t>
        </is>
      </c>
      <c r="M3">
        <f>E3*I3</f>
        <v/>
      </c>
      <c r="O3" t="inlineStr">
        <is>
          <t>Total Ordes</t>
        </is>
      </c>
      <c r="P3">
        <f>COUNTA(A2:A11)</f>
        <v/>
      </c>
    </row>
    <row r="4">
      <c r="A4" t="n">
        <v>3</v>
      </c>
      <c r="B4">
        <f>MONTH(C4)</f>
        <v/>
      </c>
      <c r="C4" t="inlineStr">
        <is>
          <t>01/01/2025</t>
        </is>
      </c>
      <c r="D4" t="inlineStr">
        <is>
          <t>07:14:04</t>
        </is>
      </c>
      <c r="E4" t="n">
        <v>2</v>
      </c>
      <c r="F4" t="n">
        <v>5</v>
      </c>
      <c r="G4" t="inlineStr">
        <is>
          <t>Lower Manhattan</t>
        </is>
      </c>
      <c r="H4" t="n">
        <v>59</v>
      </c>
      <c r="I4" t="n">
        <v>4.5</v>
      </c>
      <c r="J4" t="inlineStr">
        <is>
          <t>Drinking Chocolate</t>
        </is>
      </c>
      <c r="K4" t="inlineStr">
        <is>
          <t>Hot chocolate</t>
        </is>
      </c>
      <c r="L4" t="inlineStr">
        <is>
          <t>Dark Chocolate Lg</t>
        </is>
      </c>
      <c r="M4">
        <f>E4*I4</f>
        <v/>
      </c>
      <c r="O4" t="inlineStr">
        <is>
          <t xml:space="preserve">Average sales </t>
        </is>
      </c>
      <c r="P4">
        <f>AVERAGE(M2:M11)</f>
        <v/>
      </c>
    </row>
    <row r="5">
      <c r="A5" t="n">
        <v>4</v>
      </c>
      <c r="B5">
        <f>MONTH(C5)</f>
        <v/>
      </c>
      <c r="C5" t="inlineStr">
        <is>
          <t>01/01/2026</t>
        </is>
      </c>
      <c r="D5" t="inlineStr">
        <is>
          <t>07:20:24</t>
        </is>
      </c>
      <c r="E5" t="n">
        <v>1</v>
      </c>
      <c r="F5" t="n">
        <v>5</v>
      </c>
      <c r="G5" t="inlineStr">
        <is>
          <t>Lower Manhattan</t>
        </is>
      </c>
      <c r="H5" t="n">
        <v>22</v>
      </c>
      <c r="I5" t="n">
        <v>2</v>
      </c>
      <c r="J5" t="inlineStr">
        <is>
          <t>Coffee</t>
        </is>
      </c>
      <c r="K5" t="inlineStr">
        <is>
          <t>Drip coffee</t>
        </is>
      </c>
      <c r="L5" t="inlineStr">
        <is>
          <t>Our Old Time Diner Blend Sm</t>
        </is>
      </c>
      <c r="M5">
        <f>E5*I5</f>
        <v/>
      </c>
    </row>
    <row r="6">
      <c r="A6" t="n">
        <v>5</v>
      </c>
      <c r="B6">
        <f>MONTH(C6)</f>
        <v/>
      </c>
      <c r="C6" t="inlineStr">
        <is>
          <t>01/01/2027</t>
        </is>
      </c>
      <c r="D6" t="inlineStr">
        <is>
          <t>07:22:41</t>
        </is>
      </c>
      <c r="E6" t="n">
        <v>2</v>
      </c>
      <c r="F6" t="n">
        <v>5</v>
      </c>
      <c r="G6" t="inlineStr">
        <is>
          <t>Lower Manhattan</t>
        </is>
      </c>
      <c r="H6" t="n">
        <v>77</v>
      </c>
      <c r="I6" t="n">
        <v>3</v>
      </c>
      <c r="J6" t="inlineStr">
        <is>
          <t>Bakery</t>
        </is>
      </c>
      <c r="K6" t="inlineStr">
        <is>
          <t>Scone</t>
        </is>
      </c>
      <c r="L6" t="inlineStr">
        <is>
          <t>Oatmeal Scone</t>
        </is>
      </c>
      <c r="M6">
        <f>E6*I6</f>
        <v/>
      </c>
    </row>
    <row r="7">
      <c r="A7" t="n">
        <v>6</v>
      </c>
      <c r="B7">
        <f>MONTH(C7)</f>
        <v/>
      </c>
      <c r="C7" t="inlineStr">
        <is>
          <t>01/01/2028</t>
        </is>
      </c>
      <c r="D7" t="inlineStr">
        <is>
          <t>07:25:49</t>
        </is>
      </c>
      <c r="E7" t="n">
        <v>1</v>
      </c>
      <c r="F7" t="n">
        <v>8</v>
      </c>
      <c r="G7" t="inlineStr">
        <is>
          <t>Hell's Kitchen</t>
        </is>
      </c>
      <c r="H7" t="n">
        <v>40</v>
      </c>
      <c r="I7" t="n">
        <v>3.75</v>
      </c>
      <c r="J7" t="inlineStr">
        <is>
          <t>Coffee</t>
        </is>
      </c>
      <c r="K7" t="inlineStr">
        <is>
          <t>Barista Espresso</t>
        </is>
      </c>
      <c r="L7" t="inlineStr">
        <is>
          <t>Cappuccino</t>
        </is>
      </c>
      <c r="M7">
        <f>E7*I7</f>
        <v/>
      </c>
    </row>
    <row r="8">
      <c r="A8" t="n">
        <v>7</v>
      </c>
      <c r="B8">
        <f>MONTH(C8)</f>
        <v/>
      </c>
      <c r="C8" t="inlineStr">
        <is>
          <t>01/01/2029</t>
        </is>
      </c>
      <c r="D8" t="inlineStr">
        <is>
          <t>07:33:34</t>
        </is>
      </c>
      <c r="E8" t="n">
        <v>3</v>
      </c>
      <c r="F8" t="n">
        <v>8</v>
      </c>
      <c r="G8" t="inlineStr">
        <is>
          <t>Hell's Kitchen</t>
        </is>
      </c>
      <c r="H8" t="n">
        <v>54</v>
      </c>
      <c r="I8" t="n">
        <v>2.5</v>
      </c>
      <c r="J8" t="inlineStr">
        <is>
          <t>Tea</t>
        </is>
      </c>
      <c r="K8" t="inlineStr">
        <is>
          <t>Brewed Chai tea</t>
        </is>
      </c>
      <c r="L8" t="inlineStr">
        <is>
          <t>Morning Sunrise Chai Rg</t>
        </is>
      </c>
      <c r="M8">
        <f>E8*I8</f>
        <v/>
      </c>
    </row>
    <row r="9">
      <c r="A9" t="n">
        <v>8</v>
      </c>
      <c r="B9">
        <f>MONTH(C9)</f>
        <v/>
      </c>
      <c r="C9" t="inlineStr">
        <is>
          <t>01/01/2030</t>
        </is>
      </c>
      <c r="D9" t="inlineStr">
        <is>
          <t>07:39:13</t>
        </is>
      </c>
      <c r="E9" t="n">
        <v>1</v>
      </c>
      <c r="F9" t="n">
        <v>5</v>
      </c>
      <c r="G9" t="inlineStr">
        <is>
          <t>Lower Manhattan</t>
        </is>
      </c>
      <c r="H9" t="n">
        <v>69</v>
      </c>
      <c r="I9" t="n">
        <v>3.25</v>
      </c>
      <c r="J9" t="inlineStr">
        <is>
          <t>Bakery</t>
        </is>
      </c>
      <c r="K9" t="inlineStr">
        <is>
          <t>Biscotti</t>
        </is>
      </c>
      <c r="L9" t="inlineStr">
        <is>
          <t>Hazelnut Biscotti</t>
        </is>
      </c>
      <c r="M9">
        <f>E9*I9</f>
        <v/>
      </c>
    </row>
    <row r="10">
      <c r="A10" t="n">
        <v>9</v>
      </c>
      <c r="B10">
        <f>MONTH(C10)</f>
        <v/>
      </c>
      <c r="C10" t="inlineStr">
        <is>
          <t>01/01/2031</t>
        </is>
      </c>
      <c r="D10" t="inlineStr">
        <is>
          <t>07:44:35</t>
        </is>
      </c>
      <c r="E10" t="n">
        <v>2</v>
      </c>
      <c r="F10" t="n">
        <v>8</v>
      </c>
      <c r="G10" t="inlineStr">
        <is>
          <t>Hell's Kitchen</t>
        </is>
      </c>
      <c r="H10" t="n">
        <v>41</v>
      </c>
      <c r="I10" t="n">
        <v>4.25</v>
      </c>
      <c r="J10" t="inlineStr">
        <is>
          <t>Coffee</t>
        </is>
      </c>
      <c r="K10" t="inlineStr">
        <is>
          <t>Barista Espresso</t>
        </is>
      </c>
      <c r="L10" t="inlineStr">
        <is>
          <t>Cappuccino Lg</t>
        </is>
      </c>
      <c r="M10">
        <f>E10*I10</f>
        <v/>
      </c>
      <c r="AA10" t="inlineStr">
        <is>
          <t xml:space="preserve">Category </t>
        </is>
      </c>
      <c r="AB10" t="inlineStr">
        <is>
          <t xml:space="preserve">Revenue </t>
        </is>
      </c>
    </row>
    <row r="11">
      <c r="A11" t="n">
        <v>10</v>
      </c>
      <c r="B11">
        <f>MONTH(C11)</f>
        <v/>
      </c>
      <c r="C11" t="inlineStr">
        <is>
          <t>01/01/2032</t>
        </is>
      </c>
      <c r="D11" t="inlineStr">
        <is>
          <t>07:52:36</t>
        </is>
      </c>
      <c r="E11" t="n">
        <v>1</v>
      </c>
      <c r="F11" t="n">
        <v>5</v>
      </c>
      <c r="G11" t="inlineStr">
        <is>
          <t>Lower Manhattan</t>
        </is>
      </c>
      <c r="H11" t="n">
        <v>60</v>
      </c>
      <c r="I11" t="n">
        <v>3.75</v>
      </c>
      <c r="J11" t="inlineStr">
        <is>
          <t>Drinking Chocolate</t>
        </is>
      </c>
      <c r="K11" t="inlineStr">
        <is>
          <t>Hot chocolate</t>
        </is>
      </c>
      <c r="L11" t="inlineStr">
        <is>
          <t>Sustainably Grown Organic Rg</t>
        </is>
      </c>
      <c r="M11">
        <f>E11*I11</f>
        <v/>
      </c>
      <c r="AA11" t="inlineStr">
        <is>
          <t>Coffee</t>
        </is>
      </c>
      <c r="AB11">
        <f>SUMIF(J2:J11,"Coffee",M2:M11)</f>
        <v/>
      </c>
    </row>
    <row r="12">
      <c r="AA12" t="inlineStr">
        <is>
          <t>Tea</t>
        </is>
      </c>
      <c r="AB12">
        <f>SUMIF(J2:J11,"Tea",M2:M11)</f>
        <v/>
      </c>
    </row>
    <row r="13">
      <c r="AA13" t="inlineStr">
        <is>
          <t xml:space="preserve">Bakery </t>
        </is>
      </c>
      <c r="AB13">
        <f>SUMIF(J2:J11,"Bakery",M2:M11)</f>
        <v/>
      </c>
    </row>
    <row r="14">
      <c r="A14" t="inlineStr">
        <is>
          <t>month sales</t>
        </is>
      </c>
      <c r="B14" t="inlineStr">
        <is>
          <t xml:space="preserve">Total sales </t>
        </is>
      </c>
      <c r="AA14" t="inlineStr">
        <is>
          <t xml:space="preserve">Drinking chocolate </t>
        </is>
      </c>
      <c r="AB14">
        <f>SUMIF(J2:J11,"Drinking chocolate",M2:M11)</f>
        <v/>
      </c>
    </row>
    <row r="15">
      <c r="A15">
        <f>MONTH(C2)</f>
        <v/>
      </c>
      <c r="B15" t="n">
        <v>3</v>
      </c>
      <c r="G15" t="inlineStr">
        <is>
          <t>store_location</t>
        </is>
      </c>
      <c r="H15" t="inlineStr">
        <is>
          <t>Total sales</t>
        </is>
      </c>
    </row>
    <row r="16">
      <c r="A16">
        <f>MONTH(C3)</f>
        <v/>
      </c>
      <c r="B16" t="n">
        <v>6.2</v>
      </c>
      <c r="G16" t="inlineStr">
        <is>
          <t>Lower Manhattan</t>
        </is>
      </c>
      <c r="H16" t="n">
        <v>3</v>
      </c>
    </row>
    <row r="17">
      <c r="A17">
        <f>MONTH(C4)</f>
        <v/>
      </c>
      <c r="B17" t="n">
        <v>9</v>
      </c>
      <c r="G17" t="inlineStr">
        <is>
          <t>Lower Manhattan</t>
        </is>
      </c>
      <c r="H17" t="n">
        <v>6.2</v>
      </c>
    </row>
    <row r="18">
      <c r="A18">
        <f>MONTH(C5)</f>
        <v/>
      </c>
      <c r="B18" t="n">
        <v>2</v>
      </c>
      <c r="G18" t="inlineStr">
        <is>
          <t>Lower Manhattan</t>
        </is>
      </c>
      <c r="H18" t="n">
        <v>9</v>
      </c>
      <c r="L18" t="inlineStr">
        <is>
          <t>product_type</t>
        </is>
      </c>
      <c r="M18" t="inlineStr">
        <is>
          <t>Total sales</t>
        </is>
      </c>
    </row>
    <row r="19">
      <c r="A19">
        <f>MONTH(C6)</f>
        <v/>
      </c>
      <c r="B19" t="n">
        <v>6</v>
      </c>
      <c r="G19" t="inlineStr">
        <is>
          <t>Lower Manhattan</t>
        </is>
      </c>
      <c r="H19" t="n">
        <v>2</v>
      </c>
      <c r="L19" t="inlineStr">
        <is>
          <t>Gourmet brewed coffee</t>
        </is>
      </c>
      <c r="M19" t="n">
        <v>3</v>
      </c>
    </row>
    <row r="20">
      <c r="A20">
        <f>MONTH(C7)</f>
        <v/>
      </c>
      <c r="B20" t="n">
        <v>3.75</v>
      </c>
      <c r="G20" t="inlineStr">
        <is>
          <t>Lower Manhattan</t>
        </is>
      </c>
      <c r="H20" t="n">
        <v>6</v>
      </c>
      <c r="L20" t="inlineStr">
        <is>
          <t>Brewed Chai tea</t>
        </is>
      </c>
      <c r="M20" t="n">
        <v>6.2</v>
      </c>
    </row>
    <row r="21">
      <c r="A21">
        <f>MONTH(C8)</f>
        <v/>
      </c>
      <c r="B21" t="n">
        <v>7.5</v>
      </c>
      <c r="G21" t="inlineStr">
        <is>
          <t>Hell's Kitchen</t>
        </is>
      </c>
      <c r="H21" t="n">
        <v>3.75</v>
      </c>
      <c r="L21" t="inlineStr">
        <is>
          <t>Hot chocolate</t>
        </is>
      </c>
      <c r="M21" t="n">
        <v>9</v>
      </c>
    </row>
    <row r="22">
      <c r="A22">
        <f>MONTH(C9)</f>
        <v/>
      </c>
      <c r="B22" t="n">
        <v>3.25</v>
      </c>
      <c r="G22" t="inlineStr">
        <is>
          <t>Hell's Kitchen</t>
        </is>
      </c>
      <c r="H22" t="n">
        <v>7.5</v>
      </c>
      <c r="L22" t="inlineStr">
        <is>
          <t>Drip coffee</t>
        </is>
      </c>
      <c r="M22" t="n">
        <v>2</v>
      </c>
    </row>
    <row r="23">
      <c r="A23">
        <f>MONTH(C10)</f>
        <v/>
      </c>
      <c r="B23" t="n">
        <v>8.5</v>
      </c>
      <c r="G23" t="inlineStr">
        <is>
          <t>Lower Manhattan</t>
        </is>
      </c>
      <c r="H23" t="n">
        <v>3.25</v>
      </c>
      <c r="L23" t="inlineStr">
        <is>
          <t>Scone</t>
        </is>
      </c>
      <c r="M23" t="n">
        <v>6</v>
      </c>
    </row>
    <row r="24">
      <c r="A24">
        <f>MONTH(C11)</f>
        <v/>
      </c>
      <c r="B24" t="n">
        <v>3.75</v>
      </c>
      <c r="G24" t="inlineStr">
        <is>
          <t>Hell's Kitchen</t>
        </is>
      </c>
      <c r="H24" t="n">
        <v>8.5</v>
      </c>
      <c r="L24" t="inlineStr">
        <is>
          <t>Barista Espresso</t>
        </is>
      </c>
      <c r="M24" t="n">
        <v>3.75</v>
      </c>
    </row>
    <row r="25">
      <c r="G25" t="inlineStr">
        <is>
          <t>Lower Manhattan</t>
        </is>
      </c>
      <c r="H25" t="n">
        <v>3.75</v>
      </c>
      <c r="L25" t="inlineStr">
        <is>
          <t>Brewed Chai tea</t>
        </is>
      </c>
      <c r="M25" t="n">
        <v>7.5</v>
      </c>
    </row>
    <row r="26">
      <c r="L26" t="inlineStr">
        <is>
          <t>Biscotti</t>
        </is>
      </c>
      <c r="M26" t="n">
        <v>3.25</v>
      </c>
    </row>
    <row r="27">
      <c r="L27" t="inlineStr">
        <is>
          <t>Barista Espresso</t>
        </is>
      </c>
      <c r="M27" t="n">
        <v>8.5</v>
      </c>
    </row>
    <row r="28">
      <c r="L28" t="inlineStr">
        <is>
          <t>Hot chocolate</t>
        </is>
      </c>
      <c r="M28" t="n">
        <v>3.75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2026-08-07T08:35:23Z</dcterms:created>
  <dcterms:modified xmlns:dcterms="http://purl.org/dc/terms/" xmlns:xsi="http://www.w3.org/2001/XMLSchema-instance" xsi:type="dcterms:W3CDTF">2026-08-07T08:35:59Z</dcterms:modified>
</cp:coreProperties>
</file>